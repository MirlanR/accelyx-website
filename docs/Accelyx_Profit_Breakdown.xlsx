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t Breakdow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<sst xmlns="http://schemas.openxmlformats.org/spreadsheetml/2006/main" count="44" uniqueCount="44">
  <si>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Accelyx AI — Monthly Profit Breakdown</t>
  </si>
  <si>
    <t xml:space="preserve">Per-client monthly costs, revenue, and profit for each plan</t>
  </si>
  <si>
    <t xml:space="preserve">STARTER</t>
  </si>
  <si>
    <t xml:space="preserve">PROFESSIONAL</t>
  </si>
  <si>
    <t xml:space="preserve">PREMIUM</t>
  </si>
  <si>
    <t xml:space="preserve">MONTHLY REVENUE</t>
  </si>
  <si>
    <t xml:space="preserve">Monthly subscription</t>
  </si>
  <si>
    <t xml:space="preserve">  (Premium: estimated average)</t>
  </si>
  <si>
    <t xml:space="preserve">YOUR MONTHLY COSTS (per client)</t>
  </si>
  <si>
    <t xml:space="preserve">n8n Cloud / Self-hosted VPS (Hostinger)</t>
  </si>
  <si>
    <t xml:space="preserve">OpenAI API (GPT-4o for chatbot)</t>
  </si>
  <si>
    <t xml:space="preserve">Google Workspace (Calendar, Gmail)</t>
  </si>
  <si>
    <t xml:space="preserve">Vercel Hosting (website)</t>
  </si>
  <si>
    <t xml:space="preserve">Twilio / Voice API (calls, SMS)</t>
  </si>
  <si>
    <t xml:space="preserve">Email sending (SendGrid / Resend)</t>
  </si>
  <si>
    <t xml:space="preserve">CRM platform (if providing one)</t>
  </si>
  <si>
    <t xml:space="preserve">Stripe fees (2.9% + $0.30)</t>
  </si>
  <si>
    <t xml:space="preserve">Domain + SSL (per client if needed)</t>
  </si>
  <si>
    <t xml:space="preserve">Monitoring / error tracking</t>
  </si>
  <si>
    <t xml:space="preserve">Your time (estimated hours × $50/hr)</t>
  </si>
  <si>
    <t xml:space="preserve">TOTAL MONTHLY COSTS</t>
  </si>
  <si>
    <t xml:space="preserve">MONTHLY PROFIT (per client)</t>
  </si>
  <si>
    <t xml:space="preserve">Profit Margin</t>
  </si>
  <si>
    <t xml:space="preserve">ONE-TIME SETUP REVENUE</t>
  </si>
  <si>
    <t xml:space="preserve">Setup fee</t>
  </si>
  <si>
    <t xml:space="preserve">Your setup time cost (hours × $50)</t>
  </si>
  <si>
    <t xml:space="preserve">  (Starter ~10hrs, Pro ~20hrs, Premium ~50hrs)</t>
  </si>
  <si>
    <t xml:space="preserve">SETUP PROFIT</t>
  </si>
  <si>
    <t xml:space="preserve">ANNUAL PROJECTION (1 client, 12 months)</t>
  </si>
  <si>
    <t xml:space="preserve">Annual subscription revenue</t>
  </si>
  <si>
    <t xml:space="preserve">+ Setup fee</t>
  </si>
  <si>
    <t xml:space="preserve">Total annual revenue</t>
  </si>
  <si>
    <t xml:space="preserve">Total annual costs</t>
  </si>
  <si>
    <t xml:space="preserve">ANNUAL PROFIT (per client)</t>
  </si>
  <si>
    <t xml:space="preserve">SCALE: IF YOU HAVE 5 CLIENTS EACH</t>
  </si>
  <si>
    <t xml:space="preserve">Monthly profit × 5 clients</t>
  </si>
  <si>
    <t xml:space="preserve">Annual profit × 5 clients</t>
  </si>
  <si>
    <t xml:space="preserve">NOTES</t>
  </si>
  <si>
    <t xml:space="preserve">• All costs are estimates — adjust the blue values to match your actual spending</t>
  </si>
  <si>
    <t xml:space="preserve">• Premium pricing shown as $2,500/mo and $8,000 setup (adjust based on actual client deal)</t>
  </si>
  <si>
    <t xml:space="preserve">• "Your time" is valued at $50/hr — change this based on what you value your time at</t>
  </si>
  <si>
    <t xml:space="preserve">• VPS cost ($15) is shared — if you have 5 clients, real cost per client is ~$3</t>
  </si>
  <si>
    <t xml:space="preserve">• Stripe fees are ~2.9% + $0.30 per transaction</t>
  </si>
  <si>
    <t xml:space="preserve">• As you scale, per-client costs go DOWN (shared VPS, bulk API pricing)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</si>
</sst>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sz val="11"/>
      <color rgb="FF818CF8"/>
      <name val="Arial"/>
      <family val="0"/>
      <charset val="1"/>
    </font>
    <font>
      <sz val="10"/>
      <color rgb="FF94A3B8"/>
      <name val="Arial"/>
      <family val="0"/>
      <charset val="1"/>
    </font>
    <font>
      <sz val="11"/>
      <color rgb="FFF87171"/>
      <name val="Arial"/>
      <family val="0"/>
      <charset val="1"/>
    </font>
    <font>
      <b val="true"/>
      <sz val="12"/>
      <color rgb="FFF87171"/>
      <name val="Arial"/>
      <family val="0"/>
      <charset val="1"/>
    </font>
    <font>
      <b val="true"/>
      <sz val="14"/>
      <color rgb="FF10B981"/>
      <name val="Arial"/>
      <family val="0"/>
      <charset val="1"/>
    </font>
    <font>
      <sz val="11"/>
      <color rgb="FF10B98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6"/>
      <color rgb="FF10B98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6366F1"/>
        <bgColor rgb="FF666699"/>
      </patternFill>
    </fill>
    <fill>
      <patternFill patternType="solid">
        <fgColor rgb="FF334155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064E3B"/>
        <bgColor rgb="FF3341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18CF8"/>
      <rgbColor rgb="FF993366"/>
      <rgbColor rgb="FFFFFFCC"/>
      <rgbColor rgb="FFCCFFFF"/>
      <rgbColor rgb="FF660066"/>
      <rgbColor rgb="FFF8717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66699"/>
      <rgbColor rgb="FF94A3B8"/>
      <rgbColor rgb="FF064E3B"/>
      <rgbColor rgb="FF10B981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1"/>
      <c r="B1" s="1"/>
      <c r="C1" s="2"/>
      <c r="D1" s="2"/>
      <c r="E1" s="2"/>
    </row>
    <row r="2" customFormat="false" ht="30" hidden="false" customHeight="true" outlineLevel="0" collapsed="false">
      <c r="A2" s="1"/>
      <c r="B2" s="3" t="s">
        <v>0</v>
      </c>
      <c r="C2" s="3"/>
      <c r="D2" s="3"/>
      <c r="E2" s="3"/>
    </row>
    <row r="3" customFormat="false" ht="15" hidden="false" customHeight="false" outlineLevel="0" collapsed="false">
      <c r="A3" s="1"/>
      <c r="B3" s="4" t="s">
        <v>1</v>
      </c>
      <c r="C3" s="4"/>
      <c r="D3" s="4"/>
      <c r="E3" s="4"/>
    </row>
    <row r="4" customFormat="false" ht="15" hidden="false" customHeight="false" outlineLevel="0" collapsed="false">
      <c r="A4" s="1"/>
      <c r="B4" s="1"/>
      <c r="C4" s="2"/>
      <c r="D4" s="2"/>
      <c r="E4" s="2"/>
    </row>
    <row r="5" customFormat="false" ht="15" hidden="false" customHeight="false" outlineLevel="0" collapsed="false">
      <c r="A5" s="1"/>
      <c r="B5" s="5"/>
      <c r="C5" s="5" t="s">
        <v>2</v>
      </c>
      <c r="D5" s="5" t="s">
        <v>3</v>
      </c>
      <c r="E5" s="5" t="s">
        <v>4</v>
      </c>
    </row>
    <row r="6" customFormat="false" ht="15" hidden="false" customHeight="false" outlineLevel="0" collapsed="false">
      <c r="A6" s="1"/>
      <c r="B6" s="1"/>
      <c r="C6" s="2"/>
      <c r="D6" s="2"/>
      <c r="E6" s="2"/>
    </row>
    <row r="7" customFormat="false" ht="15" hidden="false" customHeight="false" outlineLevel="0" collapsed="false">
      <c r="A7" s="1"/>
      <c r="B7" s="6" t="s">
        <v>5</v>
      </c>
      <c r="C7" s="7"/>
      <c r="D7" s="7"/>
      <c r="E7" s="7"/>
    </row>
    <row r="8" customFormat="false" ht="15" hidden="false" customHeight="false" outlineLevel="0" collapsed="false">
      <c r="A8" s="1"/>
      <c r="B8" s="8" t="s">
        <v>6</v>
      </c>
      <c r="C8" s="9" t="n">
        <v>550</v>
      </c>
      <c r="D8" s="9" t="n">
        <v>950</v>
      </c>
      <c r="E8" s="10" t="n">
        <v>2500</v>
      </c>
    </row>
    <row r="9" customFormat="false" ht="15" hidden="false" customHeight="false" outlineLevel="0" collapsed="false">
      <c r="A9" s="1"/>
      <c r="B9" s="11" t="s">
        <v>7</v>
      </c>
      <c r="C9" s="12"/>
      <c r="D9" s="12"/>
      <c r="E9" s="12"/>
    </row>
    <row r="10" customFormat="false" ht="15" hidden="false" customHeight="false" outlineLevel="0" collapsed="false">
      <c r="A10" s="1"/>
      <c r="B10" s="1"/>
      <c r="C10" s="2"/>
      <c r="D10" s="2"/>
      <c r="E10" s="2"/>
    </row>
    <row r="11" customFormat="false" ht="15" hidden="false" customHeight="false" outlineLevel="0" collapsed="false">
      <c r="A11" s="1"/>
      <c r="B11" s="6" t="s">
        <v>8</v>
      </c>
      <c r="C11" s="7"/>
      <c r="D11" s="7"/>
      <c r="E11" s="7"/>
    </row>
    <row r="12" customFormat="false" ht="15" hidden="false" customHeight="false" outlineLevel="0" collapsed="false">
      <c r="A12" s="1"/>
      <c r="B12" s="8" t="s">
        <v>9</v>
      </c>
      <c r="C12" s="13" t="n">
        <v>15</v>
      </c>
      <c r="D12" s="13" t="n">
        <v>15</v>
      </c>
      <c r="E12" s="13" t="n">
        <v>15</v>
      </c>
    </row>
    <row r="13" customFormat="false" ht="15" hidden="false" customHeight="false" outlineLevel="0" collapsed="false">
      <c r="A13" s="1"/>
      <c r="B13" s="8" t="s">
        <v>10</v>
      </c>
      <c r="C13" s="13" t="n">
        <v>20</v>
      </c>
      <c r="D13" s="13" t="n">
        <v>50</v>
      </c>
      <c r="E13" s="13" t="n">
        <v>120</v>
      </c>
    </row>
    <row r="14" customFormat="false" ht="15" hidden="false" customHeight="false" outlineLevel="0" collapsed="false">
      <c r="A14" s="1"/>
      <c r="B14" s="8" t="s">
        <v>11</v>
      </c>
      <c r="C14" s="13" t="n">
        <v>7</v>
      </c>
      <c r="D14" s="13" t="n">
        <v>7</v>
      </c>
      <c r="E14" s="13" t="n">
        <v>7</v>
      </c>
    </row>
    <row r="15" customFormat="false" ht="15" hidden="false" customHeight="false" outlineLevel="0" collapsed="false">
      <c r="A15" s="1"/>
      <c r="B15" s="8" t="s">
        <v>12</v>
      </c>
      <c r="C15" s="13" t="n">
        <v>0</v>
      </c>
      <c r="D15" s="13" t="n">
        <v>0</v>
      </c>
      <c r="E15" s="13" t="n">
        <v>0</v>
      </c>
    </row>
    <row r="16" customFormat="false" ht="15" hidden="false" customHeight="false" outlineLevel="0" collapsed="false">
      <c r="A16" s="1"/>
      <c r="B16" s="8" t="s">
        <v>13</v>
      </c>
      <c r="C16" s="13" t="n">
        <v>0</v>
      </c>
      <c r="D16" s="13" t="n">
        <v>30</v>
      </c>
      <c r="E16" s="13" t="n">
        <v>80</v>
      </c>
    </row>
    <row r="17" customFormat="false" ht="15" hidden="false" customHeight="false" outlineLevel="0" collapsed="false">
      <c r="A17" s="1"/>
      <c r="B17" s="8" t="s">
        <v>14</v>
      </c>
      <c r="C17" s="13" t="n">
        <v>0</v>
      </c>
      <c r="D17" s="13" t="n">
        <v>10</v>
      </c>
      <c r="E17" s="13" t="n">
        <v>25</v>
      </c>
    </row>
    <row r="18" customFormat="false" ht="15" hidden="false" customHeight="false" outlineLevel="0" collapsed="false">
      <c r="A18" s="1"/>
      <c r="B18" s="8" t="s">
        <v>15</v>
      </c>
      <c r="C18" s="13" t="n">
        <v>0</v>
      </c>
      <c r="D18" s="13" t="n">
        <v>15</v>
      </c>
      <c r="E18" s="13" t="n">
        <v>30</v>
      </c>
    </row>
    <row r="19" customFormat="false" ht="15" hidden="false" customHeight="false" outlineLevel="0" collapsed="false">
      <c r="A19" s="1"/>
      <c r="B19" s="8" t="s">
        <v>16</v>
      </c>
      <c r="C19" s="13" t="n">
        <v>16</v>
      </c>
      <c r="D19" s="13" t="n">
        <v>28</v>
      </c>
      <c r="E19" s="13" t="n">
        <v>73</v>
      </c>
    </row>
    <row r="20" customFormat="false" ht="15" hidden="false" customHeight="false" outlineLevel="0" collapsed="false">
      <c r="A20" s="1"/>
      <c r="B20" s="8" t="s">
        <v>17</v>
      </c>
      <c r="C20" s="13" t="n">
        <v>2</v>
      </c>
      <c r="D20" s="13" t="n">
        <v>2</v>
      </c>
      <c r="E20" s="13" t="n">
        <v>2</v>
      </c>
    </row>
    <row r="21" customFormat="false" ht="15" hidden="false" customHeight="false" outlineLevel="0" collapsed="false">
      <c r="A21" s="1"/>
      <c r="B21" s="8" t="s">
        <v>18</v>
      </c>
      <c r="C21" s="13" t="n">
        <v>0</v>
      </c>
      <c r="D21" s="13" t="n">
        <v>5</v>
      </c>
      <c r="E21" s="13" t="n">
        <v>10</v>
      </c>
    </row>
    <row r="22" customFormat="false" ht="15" hidden="false" customHeight="false" outlineLevel="0" collapsed="false">
      <c r="A22" s="1"/>
      <c r="B22" s="8" t="s">
        <v>19</v>
      </c>
      <c r="C22" s="13" t="n">
        <v>100</v>
      </c>
      <c r="D22" s="13" t="n">
        <v>200</v>
      </c>
      <c r="E22" s="13" t="n">
        <v>400</v>
      </c>
    </row>
    <row r="23" customFormat="false" ht="15" hidden="false" customHeight="false" outlineLevel="0" collapsed="false">
      <c r="A23" s="1"/>
      <c r="B23" s="1"/>
      <c r="C23" s="2"/>
      <c r="D23" s="2"/>
      <c r="E23" s="2"/>
    </row>
    <row r="24" customFormat="false" ht="15" hidden="false" customHeight="false" outlineLevel="0" collapsed="false">
      <c r="A24" s="1"/>
      <c r="B24" s="6" t="s">
        <v>20</v>
      </c>
      <c r="C24" s="14" t="n">
        <f aca="false">SUM(C12:C22)</f>
        <v>160</v>
      </c>
      <c r="D24" s="14" t="n">
        <f aca="false">SUM(D12:D22)</f>
        <v>362</v>
      </c>
      <c r="E24" s="14" t="n">
        <f aca="false">SUM(E12:E22)</f>
        <v>762</v>
      </c>
    </row>
    <row r="25" customFormat="false" ht="15" hidden="false" customHeight="false" outlineLevel="0" collapsed="false">
      <c r="A25" s="1"/>
      <c r="B25" s="1"/>
      <c r="C25" s="2"/>
      <c r="D25" s="2"/>
      <c r="E25" s="2"/>
    </row>
    <row r="26" customFormat="false" ht="27.75" hidden="false" customHeight="true" outlineLevel="0" collapsed="false">
      <c r="A26" s="1"/>
      <c r="B26" s="15" t="s">
        <v>21</v>
      </c>
      <c r="C26" s="16" t="n">
        <f aca="false">C8-C24</f>
        <v>390</v>
      </c>
      <c r="D26" s="16" t="n">
        <f aca="false">D8-D24</f>
        <v>588</v>
      </c>
      <c r="E26" s="16" t="n">
        <f aca="false">E8-E24</f>
        <v>1738</v>
      </c>
    </row>
    <row r="27" customFormat="false" ht="15" hidden="false" customHeight="false" outlineLevel="0" collapsed="false">
      <c r="A27" s="1"/>
      <c r="B27" s="8" t="s">
        <v>22</v>
      </c>
      <c r="C27" s="17" t="n">
        <f aca="false">C26/C8</f>
        <v>0.709090909090909</v>
      </c>
      <c r="D27" s="17" t="n">
        <f aca="false">D26/D8</f>
        <v>0.618947368421053</v>
      </c>
      <c r="E27" s="17" t="n">
        <f aca="false">E26/E8</f>
        <v>0.6952</v>
      </c>
    </row>
    <row r="28" customFormat="false" ht="15" hidden="false" customHeight="false" outlineLevel="0" collapsed="false">
      <c r="A28" s="1"/>
      <c r="B28" s="1"/>
      <c r="C28" s="2"/>
      <c r="D28" s="2"/>
      <c r="E28" s="2"/>
    </row>
    <row r="29" customFormat="false" ht="15" hidden="false" customHeight="false" outlineLevel="0" collapsed="false">
      <c r="A29" s="1"/>
      <c r="B29" s="6" t="s">
        <v>23</v>
      </c>
      <c r="C29" s="7"/>
      <c r="D29" s="7"/>
      <c r="E29" s="7"/>
    </row>
    <row r="30" customFormat="false" ht="15" hidden="false" customHeight="false" outlineLevel="0" collapsed="false">
      <c r="A30" s="1"/>
      <c r="B30" s="8" t="s">
        <v>24</v>
      </c>
      <c r="C30" s="9" t="n">
        <v>2000</v>
      </c>
      <c r="D30" s="9" t="n">
        <v>3500</v>
      </c>
      <c r="E30" s="10" t="n">
        <v>8000</v>
      </c>
    </row>
    <row r="31" customFormat="false" ht="15" hidden="false" customHeight="false" outlineLevel="0" collapsed="false">
      <c r="A31" s="1"/>
      <c r="B31" s="8" t="s">
        <v>25</v>
      </c>
      <c r="C31" s="13" t="n">
        <v>500</v>
      </c>
      <c r="D31" s="13" t="n">
        <v>1000</v>
      </c>
      <c r="E31" s="13" t="n">
        <v>2500</v>
      </c>
    </row>
    <row r="32" customFormat="false" ht="15" hidden="false" customHeight="false" outlineLevel="0" collapsed="false">
      <c r="A32" s="1"/>
      <c r="B32" s="11" t="s">
        <v>26</v>
      </c>
      <c r="C32" s="12"/>
      <c r="D32" s="12"/>
      <c r="E32" s="12"/>
    </row>
    <row r="33" customFormat="false" ht="17.35" hidden="false" customHeight="false" outlineLevel="0" collapsed="false">
      <c r="A33" s="1"/>
      <c r="B33" s="15" t="s">
        <v>27</v>
      </c>
      <c r="C33" s="16" t="n">
        <f aca="false">C30-C31</f>
        <v>1500</v>
      </c>
      <c r="D33" s="16" t="n">
        <f aca="false">D30-D31</f>
        <v>2500</v>
      </c>
      <c r="E33" s="16" t="n">
        <f aca="false">E30-E31</f>
        <v>5500</v>
      </c>
    </row>
    <row r="34" customFormat="false" ht="15" hidden="false" customHeight="false" outlineLevel="0" collapsed="false">
      <c r="A34" s="1"/>
      <c r="B34" s="1"/>
      <c r="C34" s="2"/>
      <c r="D34" s="2"/>
      <c r="E34" s="2"/>
    </row>
    <row r="35" customFormat="false" ht="15" hidden="false" customHeight="false" outlineLevel="0" collapsed="false">
      <c r="A35" s="1"/>
      <c r="B35" s="6" t="s">
        <v>28</v>
      </c>
      <c r="C35" s="7"/>
      <c r="D35" s="7"/>
      <c r="E35" s="7"/>
    </row>
    <row r="36" customFormat="false" ht="15" hidden="false" customHeight="false" outlineLevel="0" collapsed="false">
      <c r="A36" s="1"/>
      <c r="B36" s="8" t="s">
        <v>29</v>
      </c>
      <c r="C36" s="9" t="n">
        <f aca="false">C8*12</f>
        <v>6600</v>
      </c>
      <c r="D36" s="9" t="n">
        <f aca="false">D8*12</f>
        <v>11400</v>
      </c>
      <c r="E36" s="9" t="n">
        <f aca="false">E8*12</f>
        <v>30000</v>
      </c>
    </row>
    <row r="37" customFormat="false" ht="15" hidden="false" customHeight="false" outlineLevel="0" collapsed="false">
      <c r="A37" s="1"/>
      <c r="B37" s="8" t="s">
        <v>30</v>
      </c>
      <c r="C37" s="9" t="n">
        <f aca="false">C30</f>
        <v>2000</v>
      </c>
      <c r="D37" s="9" t="n">
        <f aca="false">D30</f>
        <v>3500</v>
      </c>
      <c r="E37" s="9" t="n">
        <f aca="false">E30</f>
        <v>8000</v>
      </c>
    </row>
    <row r="38" customFormat="false" ht="15" hidden="false" customHeight="false" outlineLevel="0" collapsed="false">
      <c r="A38" s="1"/>
      <c r="B38" s="18" t="s">
        <v>31</v>
      </c>
      <c r="C38" s="19" t="n">
        <f aca="false">C36+C37</f>
        <v>8600</v>
      </c>
      <c r="D38" s="19" t="n">
        <f aca="false">D36+D37</f>
        <v>14900</v>
      </c>
      <c r="E38" s="19" t="n">
        <f aca="false">E36+E37</f>
        <v>38000</v>
      </c>
    </row>
    <row r="39" customFormat="false" ht="15" hidden="false" customHeight="false" outlineLevel="0" collapsed="false">
      <c r="A39" s="1"/>
      <c r="B39" s="8" t="s">
        <v>32</v>
      </c>
      <c r="C39" s="13" t="n">
        <f aca="false">(C24*12)+C31</f>
        <v>2420</v>
      </c>
      <c r="D39" s="13" t="n">
        <f aca="false">(D24*12)+D31</f>
        <v>5344</v>
      </c>
      <c r="E39" s="13" t="n">
        <f aca="false">(E24*12)+E31</f>
        <v>11644</v>
      </c>
    </row>
    <row r="40" customFormat="false" ht="27.75" hidden="false" customHeight="true" outlineLevel="0" collapsed="false">
      <c r="A40" s="1"/>
      <c r="B40" s="15" t="s">
        <v>33</v>
      </c>
      <c r="C40" s="20" t="n">
        <f aca="false">C38-C39</f>
        <v>6180</v>
      </c>
      <c r="D40" s="20" t="n">
        <f aca="false">D38-D39</f>
        <v>9556</v>
      </c>
      <c r="E40" s="20" t="n">
        <f aca="false">E38-E39</f>
        <v>26356</v>
      </c>
    </row>
    <row r="41" customFormat="false" ht="15" hidden="false" customHeight="false" outlineLevel="0" collapsed="false">
      <c r="A41" s="1"/>
      <c r="B41" s="1"/>
      <c r="C41" s="2"/>
      <c r="D41" s="2"/>
      <c r="E41" s="2"/>
    </row>
    <row r="42" customFormat="false" ht="15" hidden="false" customHeight="false" outlineLevel="0" collapsed="false">
      <c r="A42" s="1"/>
      <c r="B42" s="6" t="s">
        <v>34</v>
      </c>
      <c r="C42" s="7"/>
      <c r="D42" s="7"/>
      <c r="E42" s="7"/>
    </row>
    <row r="43" customFormat="false" ht="17.35" hidden="false" customHeight="false" outlineLevel="0" collapsed="false">
      <c r="A43" s="1"/>
      <c r="B43" s="8" t="s">
        <v>35</v>
      </c>
      <c r="C43" s="21" t="n">
        <f aca="false">C26*5</f>
        <v>1950</v>
      </c>
      <c r="D43" s="21" t="n">
        <f aca="false">D26*5</f>
        <v>2940</v>
      </c>
      <c r="E43" s="21" t="n">
        <f aca="false">E26*5</f>
        <v>8690</v>
      </c>
    </row>
    <row r="44" customFormat="false" ht="27.75" hidden="false" customHeight="true" outlineLevel="0" collapsed="false">
      <c r="A44" s="1"/>
      <c r="B44" s="15" t="s">
        <v>36</v>
      </c>
      <c r="C44" s="20" t="n">
        <f aca="false">C40*5</f>
        <v>30900</v>
      </c>
      <c r="D44" s="20" t="n">
        <f aca="false">D40*5</f>
        <v>47780</v>
      </c>
      <c r="E44" s="20" t="n">
        <f aca="false">E40*5</f>
        <v>131780</v>
      </c>
    </row>
    <row r="45" customFormat="false" ht="15" hidden="false" customHeight="false" outlineLevel="0" collapsed="false">
      <c r="A45" s="1"/>
      <c r="B45" s="1"/>
      <c r="C45" s="2"/>
      <c r="D45" s="2"/>
      <c r="E45" s="2"/>
    </row>
    <row r="46" customFormat="false" ht="15" hidden="false" customHeight="false" outlineLevel="0" collapsed="false">
      <c r="A46" s="1"/>
      <c r="B46" s="6" t="s">
        <v>37</v>
      </c>
      <c r="C46" s="7"/>
      <c r="D46" s="7"/>
      <c r="E46" s="7"/>
    </row>
    <row r="47" customFormat="false" ht="15" hidden="false" customHeight="false" outlineLevel="0" collapsed="false">
      <c r="A47" s="1"/>
      <c r="B47" s="22" t="s">
        <v>38</v>
      </c>
      <c r="C47" s="2"/>
      <c r="D47" s="2"/>
      <c r="E47" s="2"/>
    </row>
    <row r="48" customFormat="false" ht="15" hidden="false" customHeight="false" outlineLevel="0" collapsed="false">
      <c r="A48" s="1"/>
      <c r="B48" s="22" t="s">
        <v>39</v>
      </c>
      <c r="C48" s="2"/>
      <c r="D48" s="2"/>
      <c r="E48" s="2"/>
    </row>
    <row r="49" customFormat="false" ht="15" hidden="false" customHeight="false" outlineLevel="0" collapsed="false">
      <c r="A49" s="1"/>
      <c r="B49" s="22" t="s">
        <v>40</v>
      </c>
      <c r="C49" s="2"/>
      <c r="D49" s="2"/>
      <c r="E49" s="2"/>
    </row>
    <row r="50" customFormat="false" ht="15" hidden="false" customHeight="false" outlineLevel="0" collapsed="false">
      <c r="A50" s="1"/>
      <c r="B50" s="22" t="s">
        <v>41</v>
      </c>
      <c r="C50" s="2"/>
      <c r="D50" s="2"/>
      <c r="E50" s="2"/>
    </row>
    <row r="51" customFormat="false" ht="15" hidden="false" customHeight="false" outlineLevel="0" collapsed="false">
      <c r="A51" s="1"/>
      <c r="B51" s="22" t="s">
        <v>42</v>
      </c>
      <c r="C51" s="2"/>
      <c r="D51" s="2"/>
      <c r="E51" s="2"/>
    </row>
    <row r="52" customFormat="false" ht="15" hidden="false" customHeight="false" outlineLevel="0" collapsed="false">
      <c r="A52" s="1"/>
      <c r="B52" s="22" t="s">
        <v>43</v>
      </c>
      <c r="C52" s="2"/>
      <c r="D52" s="2"/>
      <c r="E52" s="2"/>
    </row>
    <row r="53" customFormat="false" ht="15" hidden="false" customHeight="false" outlineLevel="0" collapsed="false">
      <c r="A53" s="1"/>
      <c r="B53" s="1"/>
      <c r="C53" s="1"/>
      <c r="D53" s="1"/>
      <c r="E53" s="1"/>
    </row>
    <row r="54" customFormat="false" ht="15" hidden="false" customHeight="false" outlineLevel="0" collapsed="false">
      <c r="A54" s="1"/>
      <c r="B54" s="1"/>
      <c r="C54" s="1"/>
      <c r="D54" s="1"/>
      <c r="E54" s="1"/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2026-03-31T15:41:42Z</dcterms:created>
  <dc:creator>openpyxl</dc:creator>
  <dc:description/>
  <dc:language>en-US</dc:language>
  <cp:lastModifiedBy/>
  <dcterms:modified xsi:type="dcterms:W3CDTF">2026-03-31T15:41:42Z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